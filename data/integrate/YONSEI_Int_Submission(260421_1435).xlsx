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esearch\환경부RD\홈페이지 및 UI\DB_y\"/>
    </mc:Choice>
  </mc:AlternateContent>
  <xr:revisionPtr revIDLastSave="0" documentId="13_ncr:1_{B7BF8824-B02A-4BB6-9345-927BA992A81C}" xr6:coauthVersionLast="47" xr6:coauthVersionMax="47" xr10:uidLastSave="{00000000-0000-0000-0000-000000000000}"/>
  <bookViews>
    <workbookView xWindow="-120" yWindow="-120" windowWidth="38640" windowHeight="21120" xr2:uid="{8B3BBB7A-CD4C-42AA-B279-19C40962EF6A}"/>
  </bookViews>
  <sheets>
    <sheet name="Table_Macro_Climate" sheetId="2" r:id="rId1"/>
    <sheet name="Table_Trade_Damag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9" i="2" l="1"/>
  <c r="P18" i="2"/>
  <c r="P17" i="2"/>
  <c r="P16" i="2"/>
  <c r="O19" i="2"/>
  <c r="O18" i="2"/>
  <c r="O17" i="2"/>
  <c r="O16" i="2"/>
  <c r="N19" i="2"/>
  <c r="N18" i="2"/>
  <c r="N17" i="2"/>
  <c r="N16" i="2"/>
  <c r="M19" i="2"/>
  <c r="M18" i="2"/>
  <c r="M17" i="2"/>
  <c r="M16" i="2"/>
  <c r="J19" i="2"/>
  <c r="J18" i="2"/>
  <c r="J17" i="2"/>
  <c r="J16" i="2"/>
  <c r="M12" i="2"/>
  <c r="F14" i="2"/>
  <c r="O14" i="2" s="1"/>
  <c r="F13" i="2"/>
  <c r="M13" i="2" s="1"/>
  <c r="F12" i="2"/>
  <c r="O12" i="2" s="1"/>
  <c r="F11" i="2"/>
  <c r="M11" i="2" s="1"/>
  <c r="M14" i="2" l="1"/>
  <c r="N14" i="2"/>
  <c r="J12" i="2"/>
  <c r="P12" i="2"/>
  <c r="P11" i="2"/>
  <c r="J13" i="2"/>
  <c r="P13" i="2"/>
  <c r="O13" i="2"/>
  <c r="N12" i="2"/>
  <c r="J11" i="2"/>
  <c r="O11" i="2"/>
  <c r="N11" i="2"/>
  <c r="J14" i="2"/>
  <c r="P14" i="2"/>
  <c r="N13" i="2"/>
</calcChain>
</file>

<file path=xl/sharedStrings.xml><?xml version="1.0" encoding="utf-8"?>
<sst xmlns="http://schemas.openxmlformats.org/spreadsheetml/2006/main" count="374" uniqueCount="85">
  <si>
    <t>Model</t>
  </si>
  <si>
    <t>Scenario</t>
  </si>
  <si>
    <t>Region</t>
  </si>
  <si>
    <t>Variable</t>
  </si>
  <si>
    <t>Unit</t>
  </si>
  <si>
    <t>Remark</t>
  </si>
  <si>
    <t>Historical</t>
  </si>
  <si>
    <t>KOR</t>
  </si>
  <si>
    <t>NetZero</t>
  </si>
  <si>
    <t>BAU</t>
  </si>
  <si>
    <t>UNICON_CGE</t>
  </si>
  <si>
    <t>GDP|Real</t>
  </si>
  <si>
    <t>Billion USD</t>
  </si>
  <si>
    <t>[총괄팀] 피해 미반영(No-Damage) GDP 전망</t>
  </si>
  <si>
    <t>[총괄팀] 기후피해 반영 시나리오 GDP 전망</t>
  </si>
  <si>
    <t>Damage|TotalCost</t>
  </si>
  <si>
    <t>[총괄팀] 기후피해로 인한 총 누적 손실액</t>
  </si>
  <si>
    <t>Price|Carbon</t>
  </si>
  <si>
    <t>USD/tCO2</t>
  </si>
  <si>
    <t>[총괄팀] 한계 탄소 가격 / 탄소세 (Map 연동용)</t>
  </si>
  <si>
    <t>Global</t>
  </si>
  <si>
    <t>Temperature|Anomaly</t>
  </si>
  <si>
    <t>degC</t>
  </si>
  <si>
    <t>SSP1-2.6</t>
  </si>
  <si>
    <t>[총괄팀] SSP1-2.6 기온 상승 경로</t>
  </si>
  <si>
    <t>SSP5-8.5</t>
  </si>
  <si>
    <t>[총괄팀] SSP5-8.5 기온 상승 경로</t>
  </si>
  <si>
    <t>Emissions|GHG|Total</t>
  </si>
  <si>
    <t>Mt CO2eq</t>
  </si>
  <si>
    <t>[총괄팀] BU 부문 총합 배출량 전망</t>
  </si>
  <si>
    <t>Emissions|CO2|Power</t>
  </si>
  <si>
    <t>[총괄팀] 전력 부문 감축 경로</t>
  </si>
  <si>
    <t>Emissions|CO2|Industry</t>
  </si>
  <si>
    <t>[총괄팀] 산업 부문 감축 경로</t>
  </si>
  <si>
    <t>Trade|Export|Total</t>
  </si>
  <si>
    <t>[총괄팀] 탄소세 등에 따른 총 수출액 변동 전망</t>
  </si>
  <si>
    <t>Trade|Flow|To_USA</t>
  </si>
  <si>
    <t>[총괄팀] 대미 수출 무역 흐름(VXMD)</t>
  </si>
  <si>
    <t>UNICON_Damage</t>
  </si>
  <si>
    <t>Damage|Agriculture</t>
  </si>
  <si>
    <t>%</t>
  </si>
  <si>
    <t>Damage|Labor</t>
  </si>
  <si>
    <t>Damage|Tourism</t>
  </si>
  <si>
    <t>Damage|Energy</t>
  </si>
  <si>
    <t>[통합팀] 17년 WB실적 + 19~24년 외부 인터넷(BOK)/보간 적용</t>
  </si>
  <si>
    <t>[통합팀] 산업화 이전 대비 지구 기온 상승폭 실적(선형보간)</t>
  </si>
  <si>
    <t>[통합팀] 17~23년 EDGAR 실적[5] + 24년 선형보간</t>
  </si>
  <si>
    <t>[통합팀] 17년 GTAP기반 + 19~24년 외부 인터넷(KITA)/보간 적용</t>
  </si>
  <si>
    <t>[통합팀/총괄팀] 20년 WB기온 실적 바탕 보간[3] -&gt; 25년 전망 연계</t>
  </si>
  <si>
    <t>[통합팀/총괄팀] 17년 WTO통계 바탕 보간[3] -&gt; 25년 전망 연계</t>
  </si>
  <si>
    <t>[통합팀/총괄팀] 베이스라인 대비 피해율 선형보간 연계</t>
  </si>
  <si>
    <t>1. 주요 시각화 항목 및 그래프 작성 방법</t>
  </si>
  <si>
    <t>대시보드 상에서 2017년(과거)부터 2050/2100년(미래)까지 단절 없는 시각화를 구현하기 위해, 과거 실적 구간(실선)과 미래 전망 구간(점선)을 구분하여 표출합니다.</t>
  </si>
  <si>
    <r>
      <t>① 기후 피해 비용 비교</t>
    </r>
    <r>
      <rPr>
        <sz val="11"/>
        <color rgb="FF374151"/>
        <rFont val="Malgun Gothic"/>
        <family val="2"/>
      </rPr>
      <t xml:space="preserve">  (이중 선 및 영역 그래프)</t>
    </r>
  </si>
  <si>
    <t>GDP|Real 변수의 BAU(피해 미반영) 시나리오와 Damage(피해 반영) 시나리오 두 선의 간극(Gap)을 시계열로 칠하여 누적 손실(Damage|TotalCost)을 직관적으로 대조합니다. 2017년 기준 실적부터 2025년 전망치 사이는 선형 보간을 통해 매끄럽게 연결합니다.</t>
  </si>
  <si>
    <r>
      <t>② 글로벌 GHG 감축 경로</t>
    </r>
    <r>
      <rPr>
        <sz val="11"/>
        <color rgb="FF374151"/>
        <rFont val="Malgun Gothic"/>
        <family val="2"/>
      </rPr>
      <t xml:space="preserve">  (누적 영역 차트)</t>
    </r>
  </si>
  <si>
    <t>Emissions|GHG|Total 및 하위 부문(CO2|Power, Industry 등) 데이터를 Stack 로직으로 적층하여 넷제로 달성을 위한 부문별 감축 기여도를 시각화합니다. (2017~2023년 EDGAR 실적치와 2025년 모형 전망치를 보간하여 연결)</t>
  </si>
  <si>
    <r>
      <t>③ 탄소 가격 및 무역 변화</t>
    </r>
    <r>
      <rPr>
        <sz val="11"/>
        <color rgb="FF374151"/>
        <rFont val="Malgun Gothic"/>
        <family val="2"/>
      </rPr>
      <t xml:space="preserve">  (인터랙티브 맵)</t>
    </r>
  </si>
  <si>
    <t>Price|Carbon 변수를 국가 폴리곤의 색상 농도로 칠하고, Trade|Flow|To_USA 등 양자 간 무역 데이터(VXMD)를 화살표 굵기(Flow)로 매핑하여 글로벌 파급효과를 표현합니다. 2017년 GTAP 실적에서 출발하여 2025년 전망치로 향하는 완만한 곡선으로 보정됩니다.</t>
  </si>
  <si>
    <r>
      <t>④ 기온 상승 경로</t>
    </r>
    <r>
      <rPr>
        <sz val="11"/>
        <color rgb="FF374151"/>
        <rFont val="Malgun Gothic"/>
        <family val="2"/>
      </rPr>
      <t xml:space="preserve">  (다중 선 그래프)</t>
    </r>
  </si>
  <si>
    <t>FAIR/DICE 기후 모듈의 Temperature|Anomaly 데이터를 통해 SSP 시나리오별 2100년까지의 지구 평균 기온 상승 궤적 기울기를 대조합니다. 과거부터 연 단위 연산이 가능해 끊김 없이 표출됩니다.</t>
  </si>
  <si>
    <r>
      <t>⑤ 부문별 피해 상세</t>
    </r>
    <r>
      <rPr>
        <sz val="11"/>
        <color rgb="FF374151"/>
        <rFont val="Malgun Gothic"/>
        <family val="2"/>
      </rPr>
      <t xml:space="preserve">  (히트맵)</t>
    </r>
  </si>
  <si>
    <t>Damage|Agriculture, Labor, Tourism 등 권역별·산업별 피해율(%) 변화를 온도 색상으로 매핑하여 어느 지역의 어떤 산업이 취약한지(Hotspot) 즉각 식별합니다. 기준연도(2017년/2020년)의 피해율 '0%'에서 시작하여 시나리오별 2025년 피해율로 부드럽게 색상이 전환됩니다.</t>
  </si>
  <si>
    <t>2. 통합팀 데이터 소스 (과거 실적 및 보간 적용)</t>
  </si>
  <si>
    <t>통합플랫폼팀에서 과거 실적치(Historical Data) 사전 입력을 위해 사용한 Input DB_250731 원천 데이터는 다음과 같습니다. 특히 GTAP 11 및 피해함수 원천 데이터의 연도 한계를 극복하기 위해 2017년을 기준연도로 삼고, 2019~2024년 구간은 외부 공개 통계 및 선형 보간법을 적용해 구축했습니다.</t>
  </si>
  <si>
    <r>
      <t>•</t>
    </r>
    <r>
      <rPr>
        <sz val="7"/>
        <color theme="1"/>
        <rFont val="Times New Roman"/>
        <family val="1"/>
      </rPr>
      <t xml:space="preserve">      </t>
    </r>
    <r>
      <rPr>
        <b/>
        <sz val="11"/>
        <color rgb="FF1E3A5F"/>
        <rFont val="Malgun Gothic"/>
        <family val="2"/>
      </rPr>
      <t xml:space="preserve">거시 경제(GDP 및 인구) 실적: </t>
    </r>
    <r>
      <rPr>
        <sz val="11"/>
        <color rgb="FF374151"/>
        <rFont val="Malgun Gothic"/>
        <family val="2"/>
      </rPr>
      <t>한국은행 및 통계청 국민계정, World Bank(WB), IIASA의 GDP PPP 및 인구 관측 데이터를 활용했습니다. 2019~2024년 구간은 한국은행(BOK), WB 등의 공개된 경제 성장률 추세를 반영하여 추정 및 보간을 적용했습니다.</t>
    </r>
  </si>
  <si>
    <r>
      <t>•</t>
    </r>
    <r>
      <rPr>
        <sz val="7"/>
        <color theme="1"/>
        <rFont val="Times New Roman"/>
        <family val="1"/>
      </rPr>
      <t xml:space="preserve">      </t>
    </r>
    <r>
      <rPr>
        <b/>
        <sz val="11"/>
        <color rgb="FF1E3A5F"/>
        <rFont val="Malgun Gothic"/>
        <family val="2"/>
      </rPr>
      <t xml:space="preserve">양자 무역 및 무역수지 실적: </t>
    </r>
    <r>
      <rPr>
        <sz val="11"/>
        <color rgb="FF374151"/>
        <rFont val="Malgun Gothic"/>
        <family val="2"/>
      </rPr>
      <t>2017년을 기준연도로 하는 GTAP 11 DB를 바탕으로 상품 및 서비스 무역 흐름(VXMD) 실적을 구축했습니다. 2019~2024년은 무역협회(KITA) 등 외부 인터넷 통계의 증감 트렌드를 반영하여 선형 보간했습니다.</t>
    </r>
  </si>
  <si>
    <r>
      <t>•</t>
    </r>
    <r>
      <rPr>
        <sz val="7"/>
        <color theme="1"/>
        <rFont val="Times New Roman"/>
        <family val="1"/>
      </rPr>
      <t xml:space="preserve">      </t>
    </r>
    <r>
      <rPr>
        <b/>
        <sz val="11"/>
        <color rgb="FF1E3A5F"/>
        <rFont val="Malgun Gothic"/>
        <family val="2"/>
      </rPr>
      <t xml:space="preserve">온실가스 총 배출량 실적: </t>
    </r>
    <r>
      <rPr>
        <sz val="11"/>
        <color rgb="FF374151"/>
        <rFont val="Malgun Gothic"/>
        <family val="2"/>
      </rPr>
      <t>2017~2023년 사이의 배출량은 EDGAR 실측 데이터를 기반으로 산출하였으며, 2024년은 2025년 전망치와 선형 보간했습니다.</t>
    </r>
  </si>
  <si>
    <r>
      <t>•</t>
    </r>
    <r>
      <rPr>
        <sz val="7"/>
        <color theme="1"/>
        <rFont val="Times New Roman"/>
        <family val="1"/>
      </rPr>
      <t xml:space="preserve">      </t>
    </r>
    <r>
      <rPr>
        <b/>
        <sz val="11"/>
        <color rgb="FF1E3A5F"/>
        <rFont val="Malgun Gothic"/>
        <family val="2"/>
      </rPr>
      <t xml:space="preserve">기후 피해함수 초기 실적: </t>
    </r>
    <r>
      <rPr>
        <sz val="11"/>
        <color rgb="FF374151"/>
        <rFont val="Malgun Gothic"/>
        <family val="2"/>
      </rPr>
      <t>노동생산성 피해의 기반이 되는 WB의 월평균 기온 및 강수량 실적(1991~2020년)과, 관광 부문 피해의 기준이 되는 WTO(세계관광기구)의 인바운드/아웃바운드 관광객 수 및 지출액 실적(2017년)을 베이스라인(피해율 0%)으로 사용했습니다.</t>
    </r>
  </si>
  <si>
    <t>3. 피해부문팀(연세대) 항목 작성 요령</t>
  </si>
  <si>
    <t>※ 템플릿 내 노란색 셀(2025~2100년 5년/10년 단위 전망치) 작성 대상</t>
  </si>
  <si>
    <r>
      <t>•</t>
    </r>
    <r>
      <rPr>
        <sz val="7"/>
        <color theme="1"/>
        <rFont val="Times New Roman"/>
        <family val="1"/>
      </rPr>
      <t xml:space="preserve">      </t>
    </r>
    <r>
      <rPr>
        <b/>
        <sz val="11"/>
        <color rgb="FF1E3A5F"/>
        <rFont val="Malgun Gothic"/>
        <family val="2"/>
      </rPr>
      <t xml:space="preserve">CGE 거시경제 변수 전망 (GDP, 무역, 탄소가격): </t>
    </r>
    <r>
      <rPr>
        <sz val="11"/>
        <color rgb="FF374151"/>
        <rFont val="Malgun Gothic"/>
        <family val="2"/>
      </rPr>
      <t>2025~2100년 사이 글로벌 하향식 CGE 모형에서 도출된 시나리오별 실질 GDP, 국가 간 수출입 무역액 변동, 한계 탄소 가격(탄소세)을 Table_Macro_Climate 및 Table_Trade_Damage에 기입합니다.</t>
    </r>
  </si>
  <si>
    <r>
      <t>•</t>
    </r>
    <r>
      <rPr>
        <sz val="7"/>
        <color theme="1"/>
        <rFont val="Times New Roman"/>
        <family val="1"/>
      </rPr>
      <t xml:space="preserve">      </t>
    </r>
    <r>
      <rPr>
        <b/>
        <sz val="11"/>
        <color rgb="FF1E3A5F"/>
        <rFont val="Malgun Gothic"/>
        <family val="2"/>
      </rPr>
      <t xml:space="preserve">기후 모듈 전망 (기온 상승 경로): </t>
    </r>
    <r>
      <rPr>
        <sz val="11"/>
        <color rgb="FF374151"/>
        <rFont val="Malgun Gothic"/>
        <family val="2"/>
      </rPr>
      <t>FAIR 또는 DICE 기후 모듈을 구동하여 산출된 2100년까지의 SSP 시나리오별 지구 평균 기온 상승폭(TATM)을 Temperature|Anomaly 항목에 기입합니다.</t>
    </r>
  </si>
  <si>
    <r>
      <t>•</t>
    </r>
    <r>
      <rPr>
        <sz val="7"/>
        <color theme="1"/>
        <rFont val="Times New Roman"/>
        <family val="1"/>
      </rPr>
      <t xml:space="preserve">      </t>
    </r>
    <r>
      <rPr>
        <b/>
        <sz val="11"/>
        <color rgb="FF1E3A5F"/>
        <rFont val="Malgun Gothic"/>
        <family val="2"/>
      </rPr>
      <t xml:space="preserve">부문별 기후 피해율 전망 (Damage Module): </t>
    </r>
    <r>
      <rPr>
        <sz val="11"/>
        <color rgb="FF374151"/>
        <rFont val="Malgun Gothic"/>
        <family val="2"/>
      </rPr>
      <t>기후 변화에 따른 온도 상승이 노동 생산성, 농업 수확량, 관광 수요 등에 미치는 베이스라인(2017/2020년 0%) 대비 누적 피해율(%) 결과값을 시나리오별로 도출하여 Damage 하위 부문 항목에 기입합니다. (기입하신 2025년 결과값은 통합팀이 구축한 과거 0% 기준선과 매끄럽게 선형 보간되어 히트맵으로 시각화됩니다.)</t>
    </r>
  </si>
  <si>
    <t>Remarks_eyk</t>
  </si>
  <si>
    <t>UNICON-IAM-Damage 모형에서는 Korea가 분리되어 있지 않음. 따라서 2017년 실적치의 비중을 JPK에 곱하여 값 도출</t>
  </si>
  <si>
    <t xml:space="preserve"> </t>
  </si>
  <si>
    <t>UNICON-IAM-Damage</t>
  </si>
  <si>
    <t>NetZero-Damage</t>
  </si>
  <si>
    <t>BAU-Damage</t>
  </si>
  <si>
    <t>JPK</t>
  </si>
  <si>
    <t>* UNICON-IAM-Damage는 DFAIR 모형 연계 때문에 현재는 2017년을 기준으로 하되 5년단위 분석을 함. 따라서 2025, 2030, 2040, 2050 값이 도출되지 않음. 가장 근사한 년도로 대체함.</t>
  </si>
  <si>
    <t>Emissions|CO2|Total</t>
  </si>
  <si>
    <r>
      <t xml:space="preserve">*결과값은 우선 </t>
    </r>
    <r>
      <rPr>
        <b/>
        <sz val="11"/>
        <color theme="1"/>
        <rFont val="Aptos Narrow"/>
        <family val="2"/>
        <scheme val="minor"/>
      </rPr>
      <t xml:space="preserve">"251030_Results_Compilation_IAMC.xlsx" </t>
    </r>
    <r>
      <rPr>
        <sz val="11"/>
        <color theme="1"/>
        <rFont val="Aptos Narrow"/>
        <family val="2"/>
        <scheme val="minor"/>
      </rPr>
      <t>기준으로 작성하였으며, 추후 업데이트 될 수 있음</t>
    </r>
  </si>
  <si>
    <t>*위 결과파일에서 사용한 시나리오는 BAU, BAU-Damage, NZ, NZ-Damage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</si>
</sst>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8"/>
      <name val="Aptos Narrow"/>
      <family val="3"/>
      <charset val="129"/>
      <scheme val="minor"/>
    </font>
    <font>
      <b/>
      <sz val="12"/>
      <color rgb="FF1E3A5F"/>
      <name val="Malgun Gothic"/>
      <family val="2"/>
    </font>
    <font>
      <b/>
      <sz val="11"/>
      <color rgb="FF2563EB"/>
      <name val="Malgun Gothic"/>
      <family val="2"/>
    </font>
    <font>
      <sz val="11"/>
      <color rgb="FF374151"/>
      <name val="Malgun Gothic"/>
      <family val="2"/>
    </font>
    <font>
      <b/>
      <sz val="11"/>
      <color rgb="FF1E3A5F"/>
      <name val="Malgun Gothic"/>
      <family val="2"/>
    </font>
    <font>
      <b/>
      <i/>
      <sz val="11"/>
      <color rgb="FFD97706"/>
      <name val="Malgun Gothic"/>
      <family val="2"/>
    </font>
    <font>
      <sz val="11"/>
      <color theme="1"/>
      <name val="Malgun Gothic"/>
      <family val="2"/>
    </font>
    <font>
      <sz val="7"/>
      <color theme="1"/>
      <name val="Times New Roman"/>
      <family val="1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49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indent="2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5"/>
    </xf>
    <xf numFmtId="0" fontId="0" fillId="3" borderId="0" xfId="0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2" borderId="0" xfId="0" applyFont="1" applyFill="1"/>
    <xf numFmtId="0" fontId="10" fillId="2" borderId="0" xfId="0" applyFont="1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0127B-D4F7-4B69-9F70-DA4304EEFC9A}">
  <dimension ref="A1:S76"/>
  <sheetViews>
    <sheetView tabSelected="1" workbookViewId="0">
      <selection activeCell="S28" sqref="S28"/>
    </sheetView>
  </sheetViews>
  <sheetFormatPr defaultRowHeight="15"/>
  <cols>
    <col min="1" max="1" width="21.5703125" customWidth="1"/>
    <col min="2" max="2" width="16.140625" customWidth="1"/>
    <col min="4" max="4" width="23.5703125" customWidth="1"/>
    <col min="5" max="5" width="14.1406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2017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 s="11">
        <v>2027</v>
      </c>
      <c r="N1" s="11">
        <v>2032</v>
      </c>
      <c r="O1" s="11">
        <v>2042</v>
      </c>
      <c r="P1" s="11">
        <v>2052</v>
      </c>
      <c r="Q1" t="s">
        <v>5</v>
      </c>
      <c r="R1" t="s">
        <v>74</v>
      </c>
      <c r="S1" t="s">
        <v>81</v>
      </c>
    </row>
    <row r="2" spans="1:19">
      <c r="A2" t="s">
        <v>77</v>
      </c>
      <c r="B2" t="s">
        <v>9</v>
      </c>
      <c r="C2" t="s">
        <v>20</v>
      </c>
      <c r="D2" t="s">
        <v>11</v>
      </c>
      <c r="E2" t="s">
        <v>12</v>
      </c>
      <c r="F2" s="1">
        <v>81320.907736400026</v>
      </c>
      <c r="G2" s="1"/>
      <c r="H2" s="1"/>
      <c r="I2" s="1"/>
      <c r="J2" s="1">
        <v>91622.347360899992</v>
      </c>
      <c r="K2" s="1"/>
      <c r="L2" s="1"/>
      <c r="M2" s="1">
        <v>104131.62893979999</v>
      </c>
      <c r="N2" s="1">
        <v>118177.9375154</v>
      </c>
      <c r="O2" s="1">
        <v>146485.9963502</v>
      </c>
      <c r="P2" s="1">
        <v>176378.3702487</v>
      </c>
      <c r="S2" t="s">
        <v>83</v>
      </c>
    </row>
    <row r="3" spans="1:19">
      <c r="A3" t="s">
        <v>77</v>
      </c>
      <c r="B3" t="s">
        <v>79</v>
      </c>
      <c r="C3" t="s">
        <v>20</v>
      </c>
      <c r="D3" t="s">
        <v>11</v>
      </c>
      <c r="E3" t="s">
        <v>12</v>
      </c>
      <c r="F3" s="1">
        <v>81320.907736399997</v>
      </c>
      <c r="G3" s="1"/>
      <c r="H3" s="1"/>
      <c r="I3" s="1"/>
      <c r="J3" s="1">
        <v>91622.347360899992</v>
      </c>
      <c r="K3" s="1"/>
      <c r="L3" s="1"/>
      <c r="M3" s="1">
        <v>104196.39005989999</v>
      </c>
      <c r="N3" s="1">
        <v>118200.7024214</v>
      </c>
      <c r="O3" s="1">
        <v>146296.34067480001</v>
      </c>
      <c r="P3" s="1">
        <v>175808.10206430001</v>
      </c>
      <c r="S3" t="s">
        <v>84</v>
      </c>
    </row>
    <row r="4" spans="1:19">
      <c r="A4" t="s">
        <v>77</v>
      </c>
      <c r="B4" t="s">
        <v>8</v>
      </c>
      <c r="C4" t="s">
        <v>20</v>
      </c>
      <c r="D4" t="s">
        <v>11</v>
      </c>
      <c r="E4" t="s">
        <v>12</v>
      </c>
      <c r="F4" s="1">
        <v>81344.281963699992</v>
      </c>
      <c r="G4" s="1"/>
      <c r="H4" s="1"/>
      <c r="I4" s="1"/>
      <c r="J4" s="1">
        <v>91925.822873799989</v>
      </c>
      <c r="K4" s="1"/>
      <c r="L4" s="1"/>
      <c r="M4" s="1">
        <v>104820.98585370001</v>
      </c>
      <c r="N4" s="1">
        <v>118550.53655549999</v>
      </c>
      <c r="O4" s="1">
        <v>141160.12949779996</v>
      </c>
      <c r="P4" s="1">
        <v>161665.52814559996</v>
      </c>
    </row>
    <row r="5" spans="1:19">
      <c r="A5" t="s">
        <v>77</v>
      </c>
      <c r="B5" t="s">
        <v>78</v>
      </c>
      <c r="C5" t="s">
        <v>20</v>
      </c>
      <c r="D5" t="s">
        <v>11</v>
      </c>
      <c r="E5" t="s">
        <v>12</v>
      </c>
      <c r="F5" s="1">
        <v>81344.281963699992</v>
      </c>
      <c r="G5" s="1"/>
      <c r="H5" s="1"/>
      <c r="I5" s="1"/>
      <c r="J5" s="1">
        <v>91904.231282299996</v>
      </c>
      <c r="K5" s="1"/>
      <c r="L5" s="1"/>
      <c r="M5" s="1">
        <v>104925.09691190001</v>
      </c>
      <c r="N5" s="1">
        <v>118733.01626930002</v>
      </c>
      <c r="O5" s="1">
        <v>141465.05468999999</v>
      </c>
      <c r="P5" s="1">
        <v>161986.57261800001</v>
      </c>
    </row>
    <row r="6" spans="1:19">
      <c r="A6" t="s">
        <v>77</v>
      </c>
      <c r="B6" t="s">
        <v>9</v>
      </c>
      <c r="C6" t="s">
        <v>80</v>
      </c>
      <c r="D6" t="s">
        <v>11</v>
      </c>
      <c r="E6" t="s">
        <v>12</v>
      </c>
      <c r="F6" s="1">
        <v>6551.6208635000003</v>
      </c>
      <c r="G6" s="1"/>
      <c r="H6" s="1"/>
      <c r="I6" s="1"/>
      <c r="J6" s="1">
        <v>6742.6226432000003</v>
      </c>
      <c r="K6" s="1"/>
      <c r="L6" s="1"/>
      <c r="M6" s="1">
        <v>7192.2341981</v>
      </c>
      <c r="N6" s="1">
        <v>7586.5811863999998</v>
      </c>
      <c r="O6" s="1">
        <v>8214.2326761999993</v>
      </c>
      <c r="P6" s="1">
        <v>8720.03593</v>
      </c>
    </row>
    <row r="7" spans="1:19">
      <c r="A7" t="s">
        <v>77</v>
      </c>
      <c r="B7" t="s">
        <v>79</v>
      </c>
      <c r="C7" t="s">
        <v>80</v>
      </c>
      <c r="D7" t="s">
        <v>11</v>
      </c>
      <c r="E7" t="s">
        <v>12</v>
      </c>
      <c r="F7" s="1">
        <v>6551.6208635000003</v>
      </c>
      <c r="G7" s="1"/>
      <c r="H7" s="1"/>
      <c r="I7" s="1"/>
      <c r="J7" s="1">
        <v>6742.6226432000003</v>
      </c>
      <c r="K7" s="1"/>
      <c r="L7" s="1"/>
      <c r="M7" s="1">
        <v>7218.1588831999998</v>
      </c>
      <c r="N7" s="1">
        <v>7621.3334119000001</v>
      </c>
      <c r="O7" s="1">
        <v>8261.6582405000008</v>
      </c>
      <c r="P7" s="1">
        <v>8777.7131721999995</v>
      </c>
    </row>
    <row r="8" spans="1:19">
      <c r="A8" t="s">
        <v>77</v>
      </c>
      <c r="B8" t="s">
        <v>8</v>
      </c>
      <c r="C8" t="s">
        <v>80</v>
      </c>
      <c r="D8" t="s">
        <v>11</v>
      </c>
      <c r="E8" t="s">
        <v>12</v>
      </c>
      <c r="F8" s="1">
        <v>6570.9393004000003</v>
      </c>
      <c r="G8" s="1"/>
      <c r="H8" s="1"/>
      <c r="I8" s="1"/>
      <c r="J8" s="1">
        <v>6800.6333911000002</v>
      </c>
      <c r="K8" s="1"/>
      <c r="L8" s="1"/>
      <c r="M8" s="1">
        <v>7289.5399276999997</v>
      </c>
      <c r="N8" s="1">
        <v>7688.5227306999996</v>
      </c>
      <c r="O8" s="1">
        <v>8017.0837525999996</v>
      </c>
      <c r="P8" s="1">
        <v>8110.6440954999998</v>
      </c>
    </row>
    <row r="9" spans="1:19">
      <c r="A9" t="s">
        <v>77</v>
      </c>
      <c r="B9" t="s">
        <v>78</v>
      </c>
      <c r="C9" t="s">
        <v>80</v>
      </c>
      <c r="D9" t="s">
        <v>11</v>
      </c>
      <c r="E9" t="s">
        <v>12</v>
      </c>
      <c r="F9" s="1">
        <v>6570.9393004000003</v>
      </c>
      <c r="G9" s="1"/>
      <c r="H9" s="1"/>
      <c r="I9" s="1"/>
      <c r="J9" s="1">
        <v>6781.0967283999998</v>
      </c>
      <c r="K9" s="1"/>
      <c r="L9" s="1"/>
      <c r="M9" s="1">
        <v>7288.1535200999997</v>
      </c>
      <c r="N9" s="1">
        <v>7690.4508298000001</v>
      </c>
      <c r="O9" s="1">
        <v>8021.2190720999997</v>
      </c>
      <c r="P9" s="1">
        <v>8114.3020741</v>
      </c>
    </row>
    <row r="10" spans="1:19">
      <c r="A10" t="s">
        <v>77</v>
      </c>
      <c r="B10" t="s">
        <v>6</v>
      </c>
      <c r="C10" s="12" t="s">
        <v>7</v>
      </c>
      <c r="D10" t="s">
        <v>11</v>
      </c>
      <c r="E10" t="s">
        <v>12</v>
      </c>
      <c r="F10">
        <v>1530</v>
      </c>
      <c r="G10">
        <v>1600</v>
      </c>
      <c r="H10">
        <v>1630</v>
      </c>
      <c r="I10">
        <v>1650</v>
      </c>
      <c r="J10">
        <v>1670</v>
      </c>
      <c r="K10">
        <v>1690</v>
      </c>
      <c r="L10">
        <v>1710</v>
      </c>
      <c r="M10" s="1"/>
      <c r="N10" s="1"/>
      <c r="O10" s="1"/>
      <c r="P10" s="1"/>
      <c r="Q10" t="s">
        <v>44</v>
      </c>
    </row>
    <row r="11" spans="1:19">
      <c r="A11" t="s">
        <v>77</v>
      </c>
      <c r="B11" t="s">
        <v>9</v>
      </c>
      <c r="C11" s="12" t="s">
        <v>7</v>
      </c>
      <c r="D11" t="s">
        <v>11</v>
      </c>
      <c r="E11" t="s">
        <v>12</v>
      </c>
      <c r="F11" s="1">
        <f>F10</f>
        <v>1530</v>
      </c>
      <c r="G11" s="1"/>
      <c r="H11" s="1"/>
      <c r="I11" s="1"/>
      <c r="J11" s="1">
        <f>J6*($F$11/$F$6)</f>
        <v>1574.6046450228935</v>
      </c>
      <c r="K11" s="1"/>
      <c r="L11" s="1"/>
      <c r="M11" s="1">
        <f t="shared" ref="M11:P11" si="0">M6*($F$11/$F$6)</f>
        <v>1679.6024300487973</v>
      </c>
      <c r="N11" s="1">
        <f t="shared" si="0"/>
        <v>1771.6942810074436</v>
      </c>
      <c r="O11" s="1">
        <f t="shared" si="0"/>
        <v>1918.269731480166</v>
      </c>
      <c r="P11" s="1">
        <f t="shared" si="0"/>
        <v>2036.3899637764805</v>
      </c>
      <c r="Q11" t="s">
        <v>13</v>
      </c>
      <c r="R11" t="s">
        <v>75</v>
      </c>
    </row>
    <row r="12" spans="1:19">
      <c r="A12" t="s">
        <v>77</v>
      </c>
      <c r="B12" t="s">
        <v>79</v>
      </c>
      <c r="C12" s="12" t="s">
        <v>7</v>
      </c>
      <c r="D12" t="s">
        <v>11</v>
      </c>
      <c r="E12" t="s">
        <v>12</v>
      </c>
      <c r="F12" s="1">
        <f>F10</f>
        <v>1530</v>
      </c>
      <c r="G12" s="1"/>
      <c r="H12" s="1"/>
      <c r="I12" s="1"/>
      <c r="J12" s="1">
        <f>J7*($F$12/$F$7)</f>
        <v>1574.6046450228935</v>
      </c>
      <c r="K12" s="1"/>
      <c r="L12" s="1"/>
      <c r="M12" s="1">
        <f t="shared" ref="M12:P12" si="1">M7*($F$12/$F$7)</f>
        <v>1685.6566216800586</v>
      </c>
      <c r="N12" s="1">
        <f t="shared" si="1"/>
        <v>1779.8099681210283</v>
      </c>
      <c r="O12" s="1">
        <f t="shared" si="1"/>
        <v>1929.3450233645378</v>
      </c>
      <c r="P12" s="1">
        <f t="shared" si="1"/>
        <v>2049.8593299691474</v>
      </c>
      <c r="Q12" t="s">
        <v>14</v>
      </c>
      <c r="R12" t="s">
        <v>75</v>
      </c>
    </row>
    <row r="13" spans="1:19">
      <c r="A13" t="s">
        <v>77</v>
      </c>
      <c r="B13" t="s">
        <v>8</v>
      </c>
      <c r="C13" s="12" t="s">
        <v>7</v>
      </c>
      <c r="D13" t="s">
        <v>11</v>
      </c>
      <c r="E13" t="s">
        <v>12</v>
      </c>
      <c r="F13" s="1">
        <f>F10</f>
        <v>1530</v>
      </c>
      <c r="G13" s="1"/>
      <c r="H13" s="1"/>
      <c r="I13" s="1"/>
      <c r="J13" s="1">
        <f>J8*($F$13/$F$8)</f>
        <v>1583.4827583553551</v>
      </c>
      <c r="K13" s="1"/>
      <c r="L13" s="1"/>
      <c r="M13" s="1">
        <f t="shared" ref="M13:P13" si="2">M8*($F$13/$F$8)</f>
        <v>1697.3214299365193</v>
      </c>
      <c r="N13" s="1">
        <f t="shared" si="2"/>
        <v>1790.2219515640497</v>
      </c>
      <c r="O13" s="1">
        <f t="shared" si="2"/>
        <v>1866.7252246161077</v>
      </c>
      <c r="P13" s="1">
        <f t="shared" si="2"/>
        <v>1888.5101351278036</v>
      </c>
      <c r="R13" t="s">
        <v>75</v>
      </c>
    </row>
    <row r="14" spans="1:19">
      <c r="A14" t="s">
        <v>77</v>
      </c>
      <c r="B14" t="s">
        <v>78</v>
      </c>
      <c r="C14" s="12" t="s">
        <v>7</v>
      </c>
      <c r="D14" t="s">
        <v>11</v>
      </c>
      <c r="E14" t="s">
        <v>12</v>
      </c>
      <c r="F14" s="1">
        <f>F10</f>
        <v>1530</v>
      </c>
      <c r="G14" s="1"/>
      <c r="H14" s="1"/>
      <c r="I14" s="1"/>
      <c r="J14" s="1">
        <f>J9*($F$14/$F$9)</f>
        <v>1578.9337749354079</v>
      </c>
      <c r="K14" s="1"/>
      <c r="L14" s="1"/>
      <c r="M14" s="1">
        <f t="shared" ref="M14:P14" si="3">M9*($F$14/$F$9)</f>
        <v>1696.9986140450574</v>
      </c>
      <c r="N14" s="1">
        <f t="shared" si="3"/>
        <v>1790.6708967586615</v>
      </c>
      <c r="O14" s="1">
        <f t="shared" si="3"/>
        <v>1867.6881065642965</v>
      </c>
      <c r="P14" s="1">
        <f t="shared" si="3"/>
        <v>1889.3618713868282</v>
      </c>
      <c r="R14" t="s">
        <v>75</v>
      </c>
    </row>
    <row r="15" spans="1:19">
      <c r="A15" s="14" t="s">
        <v>77</v>
      </c>
      <c r="B15" s="14" t="s">
        <v>9</v>
      </c>
      <c r="C15" s="14" t="s">
        <v>7</v>
      </c>
      <c r="D15" s="14" t="s">
        <v>15</v>
      </c>
      <c r="E15" s="14" t="s">
        <v>12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t="s">
        <v>16</v>
      </c>
      <c r="R15" t="s">
        <v>76</v>
      </c>
    </row>
    <row r="16" spans="1:19">
      <c r="A16" t="s">
        <v>77</v>
      </c>
      <c r="B16" t="s">
        <v>9</v>
      </c>
      <c r="C16" t="s">
        <v>80</v>
      </c>
      <c r="D16" t="s">
        <v>17</v>
      </c>
      <c r="E16" t="s">
        <v>18</v>
      </c>
      <c r="F16" s="1">
        <v>0</v>
      </c>
      <c r="G16" s="1"/>
      <c r="H16" s="1"/>
      <c r="I16" s="1"/>
      <c r="J16" s="1">
        <f>0.0326744*1000</f>
        <v>32.674399999999999</v>
      </c>
      <c r="K16" s="1"/>
      <c r="L16" s="1"/>
      <c r="M16" s="1">
        <f>0.0726148*1000</f>
        <v>72.614799999999988</v>
      </c>
      <c r="N16" s="1">
        <f>0.116982*1000</f>
        <v>116.982</v>
      </c>
      <c r="O16" s="1">
        <f>0.210709*1000</f>
        <v>210.709</v>
      </c>
      <c r="P16" s="1">
        <f>0.3122603*1000</f>
        <v>312.26029999999997</v>
      </c>
    </row>
    <row r="17" spans="1:18">
      <c r="A17" t="s">
        <v>77</v>
      </c>
      <c r="B17" t="s">
        <v>79</v>
      </c>
      <c r="C17" t="s">
        <v>80</v>
      </c>
      <c r="D17" t="s">
        <v>17</v>
      </c>
      <c r="E17" t="s">
        <v>18</v>
      </c>
      <c r="F17" s="1">
        <v>0</v>
      </c>
      <c r="G17" s="1"/>
      <c r="H17" s="1"/>
      <c r="I17" s="1"/>
      <c r="J17" s="1">
        <f>0.0326744*1000</f>
        <v>32.674399999999999</v>
      </c>
      <c r="K17" s="1"/>
      <c r="L17" s="1"/>
      <c r="M17" s="1">
        <f>0.071257*1000</f>
        <v>71.257000000000005</v>
      </c>
      <c r="N17" s="1">
        <f>0.1153341*1000</f>
        <v>115.33409999999999</v>
      </c>
      <c r="O17" s="1">
        <f>0.2085004*1000</f>
        <v>208.50040000000001</v>
      </c>
      <c r="P17" s="1">
        <f>0.3095653*1000</f>
        <v>309.56529999999998</v>
      </c>
    </row>
    <row r="18" spans="1:18">
      <c r="A18" t="s">
        <v>77</v>
      </c>
      <c r="B18" t="s">
        <v>8</v>
      </c>
      <c r="C18" t="s">
        <v>80</v>
      </c>
      <c r="D18" t="s">
        <v>17</v>
      </c>
      <c r="E18" t="s">
        <v>18</v>
      </c>
      <c r="F18" s="1">
        <v>0</v>
      </c>
      <c r="G18" s="1"/>
      <c r="H18" s="1"/>
      <c r="I18" s="1"/>
      <c r="J18" s="1">
        <f>0.0335656*1000</f>
        <v>33.565600000000003</v>
      </c>
      <c r="K18" s="1"/>
      <c r="L18" s="1"/>
      <c r="M18" s="1">
        <f>0.0967917*1000</f>
        <v>96.791699999999992</v>
      </c>
      <c r="N18" s="1">
        <f>0.2200355*1000</f>
        <v>220.03549999999998</v>
      </c>
      <c r="O18" s="1">
        <f>0.8025754*1000</f>
        <v>802.57540000000006</v>
      </c>
      <c r="P18" s="1">
        <f>0.8151367*1000</f>
        <v>815.13670000000002</v>
      </c>
      <c r="Q18" t="s">
        <v>19</v>
      </c>
      <c r="R18" t="s">
        <v>76</v>
      </c>
    </row>
    <row r="19" spans="1:18">
      <c r="A19" t="s">
        <v>77</v>
      </c>
      <c r="B19" t="s">
        <v>78</v>
      </c>
      <c r="C19" t="s">
        <v>80</v>
      </c>
      <c r="D19" t="s">
        <v>17</v>
      </c>
      <c r="E19" t="s">
        <v>18</v>
      </c>
      <c r="F19" s="1">
        <v>0</v>
      </c>
      <c r="G19" s="1"/>
      <c r="H19" s="1"/>
      <c r="I19" s="1"/>
      <c r="J19" s="1">
        <f>0.0332328*1000</f>
        <v>33.232799999999997</v>
      </c>
      <c r="K19" s="1"/>
      <c r="L19" s="1"/>
      <c r="M19" s="1">
        <f>0.0947758*1000</f>
        <v>94.77579999999999</v>
      </c>
      <c r="N19" s="1">
        <f>0.2172596*1000</f>
        <v>217.25960000000001</v>
      </c>
      <c r="O19" s="1">
        <f>0.802576*1000</f>
        <v>802.57599999999991</v>
      </c>
      <c r="P19" s="1">
        <f>0.8150978*1000</f>
        <v>815.09780000000001</v>
      </c>
    </row>
    <row r="20" spans="1:18" s="13" customFormat="1">
      <c r="A20" s="13" t="s">
        <v>77</v>
      </c>
      <c r="B20" s="13" t="s">
        <v>6</v>
      </c>
      <c r="C20" s="13" t="s">
        <v>20</v>
      </c>
      <c r="D20" s="13" t="s">
        <v>21</v>
      </c>
      <c r="E20" s="13" t="s">
        <v>22</v>
      </c>
      <c r="F20" s="13">
        <v>1.18</v>
      </c>
      <c r="G20" s="13">
        <v>1.2</v>
      </c>
      <c r="H20" s="13">
        <v>1.2</v>
      </c>
      <c r="I20" s="13">
        <v>1.21</v>
      </c>
      <c r="J20" s="13">
        <v>1.22</v>
      </c>
      <c r="K20" s="13">
        <v>1.23</v>
      </c>
      <c r="L20" s="13">
        <v>1.24</v>
      </c>
      <c r="M20" s="16"/>
      <c r="N20" s="16"/>
      <c r="O20" s="16"/>
      <c r="P20" s="16"/>
      <c r="Q20" s="13" t="s">
        <v>45</v>
      </c>
      <c r="R20" s="13" t="s">
        <v>76</v>
      </c>
    </row>
    <row r="21" spans="1:18" s="14" customFormat="1">
      <c r="A21" s="14" t="s">
        <v>77</v>
      </c>
      <c r="B21" s="14" t="s">
        <v>23</v>
      </c>
      <c r="C21" s="14" t="s">
        <v>20</v>
      </c>
      <c r="D21" s="14" t="s">
        <v>21</v>
      </c>
      <c r="E21" s="14" t="s">
        <v>22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4" t="s">
        <v>24</v>
      </c>
      <c r="R21" s="14" t="s">
        <v>76</v>
      </c>
    </row>
    <row r="22" spans="1:18" s="14" customFormat="1">
      <c r="A22" s="14" t="s">
        <v>77</v>
      </c>
      <c r="B22" s="14" t="s">
        <v>25</v>
      </c>
      <c r="C22" s="14" t="s">
        <v>20</v>
      </c>
      <c r="D22" s="14" t="s">
        <v>21</v>
      </c>
      <c r="E22" s="14" t="s">
        <v>22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4" t="s">
        <v>26</v>
      </c>
      <c r="R22" s="14" t="s">
        <v>76</v>
      </c>
    </row>
    <row r="23" spans="1:18">
      <c r="A23" t="s">
        <v>77</v>
      </c>
      <c r="B23" t="s">
        <v>9</v>
      </c>
      <c r="C23" t="s">
        <v>20</v>
      </c>
      <c r="D23" t="s">
        <v>21</v>
      </c>
      <c r="E23" t="s">
        <v>22</v>
      </c>
      <c r="F23" s="17">
        <v>1.2017</v>
      </c>
      <c r="G23" s="17"/>
      <c r="H23" s="17"/>
      <c r="I23" s="17"/>
      <c r="J23" s="17">
        <v>1.5205496000000001</v>
      </c>
      <c r="K23" s="17"/>
      <c r="L23" s="17"/>
      <c r="M23" s="17">
        <v>1.6192694999999999</v>
      </c>
      <c r="N23" s="17">
        <v>1.7099587000000001</v>
      </c>
      <c r="O23" s="17">
        <v>1.8773755999999999</v>
      </c>
      <c r="P23" s="17">
        <v>2.0329628999999998</v>
      </c>
    </row>
    <row r="24" spans="1:18">
      <c r="A24" t="s">
        <v>77</v>
      </c>
      <c r="B24" t="s">
        <v>79</v>
      </c>
      <c r="C24" t="s">
        <v>20</v>
      </c>
      <c r="D24" t="s">
        <v>21</v>
      </c>
      <c r="E24" t="s">
        <v>22</v>
      </c>
      <c r="F24" s="17">
        <v>1.2017</v>
      </c>
      <c r="G24" s="17"/>
      <c r="H24" s="17"/>
      <c r="I24" s="17"/>
      <c r="J24" s="17">
        <v>1.5205496000000001</v>
      </c>
      <c r="K24" s="17"/>
      <c r="L24" s="17"/>
      <c r="M24" s="17">
        <v>1.6191823999999999</v>
      </c>
      <c r="N24" s="17">
        <v>1.7097712</v>
      </c>
      <c r="O24" s="17">
        <v>1.8770115000000001</v>
      </c>
      <c r="P24" s="17">
        <v>2.0324743999999999</v>
      </c>
    </row>
    <row r="25" spans="1:18">
      <c r="A25" t="s">
        <v>77</v>
      </c>
      <c r="B25" t="s">
        <v>8</v>
      </c>
      <c r="C25" t="s">
        <v>20</v>
      </c>
      <c r="D25" t="s">
        <v>21</v>
      </c>
      <c r="E25" t="s">
        <v>22</v>
      </c>
      <c r="F25" s="17">
        <v>1.2017</v>
      </c>
      <c r="G25" s="17"/>
      <c r="H25" s="17"/>
      <c r="I25" s="17"/>
      <c r="J25" s="17">
        <v>1.5205849</v>
      </c>
      <c r="K25" s="17"/>
      <c r="L25" s="17"/>
      <c r="M25" s="17">
        <v>1.6136969999999999</v>
      </c>
      <c r="N25" s="17">
        <v>1.6879689</v>
      </c>
      <c r="O25" s="17">
        <v>1.7894627999999999</v>
      </c>
      <c r="P25" s="17">
        <v>1.8526079</v>
      </c>
    </row>
    <row r="26" spans="1:18">
      <c r="A26" t="s">
        <v>77</v>
      </c>
      <c r="B26" t="s">
        <v>78</v>
      </c>
      <c r="C26" t="s">
        <v>20</v>
      </c>
      <c r="D26" t="s">
        <v>21</v>
      </c>
      <c r="E26" t="s">
        <v>22</v>
      </c>
      <c r="F26" s="17">
        <v>1.2017</v>
      </c>
      <c r="G26" s="17"/>
      <c r="H26" s="17"/>
      <c r="I26" s="17"/>
      <c r="J26" s="17">
        <v>1.5205905</v>
      </c>
      <c r="K26" s="17"/>
      <c r="L26" s="17"/>
      <c r="M26" s="17">
        <v>1.613658</v>
      </c>
      <c r="N26" s="17">
        <v>1.6878816999999999</v>
      </c>
      <c r="O26" s="17">
        <v>1.7892986</v>
      </c>
      <c r="P26" s="17">
        <v>1.8523943</v>
      </c>
    </row>
    <row r="27" spans="1:18">
      <c r="A27" t="s">
        <v>77</v>
      </c>
      <c r="B27" t="s">
        <v>9</v>
      </c>
      <c r="C27" t="s">
        <v>80</v>
      </c>
      <c r="D27" t="s">
        <v>21</v>
      </c>
      <c r="E27" t="s">
        <v>22</v>
      </c>
      <c r="F27" s="17">
        <v>1.2683944</v>
      </c>
      <c r="G27" s="17"/>
      <c r="H27" s="17"/>
      <c r="I27" s="17"/>
      <c r="J27" s="17">
        <v>1.6049401000000001</v>
      </c>
      <c r="K27" s="17"/>
      <c r="L27" s="17"/>
      <c r="M27" s="17">
        <v>1.709139</v>
      </c>
      <c r="N27" s="17">
        <v>1.8048614999999999</v>
      </c>
      <c r="O27" s="17">
        <v>1.9815699</v>
      </c>
      <c r="P27" s="17">
        <v>2.1457923000000001</v>
      </c>
    </row>
    <row r="28" spans="1:18">
      <c r="A28" t="s">
        <v>77</v>
      </c>
      <c r="B28" t="s">
        <v>79</v>
      </c>
      <c r="C28" t="s">
        <v>80</v>
      </c>
      <c r="D28" t="s">
        <v>21</v>
      </c>
      <c r="E28" t="s">
        <v>22</v>
      </c>
      <c r="F28" s="17">
        <v>1.2683944</v>
      </c>
      <c r="G28" s="17"/>
      <c r="H28" s="17"/>
      <c r="I28" s="17"/>
      <c r="J28" s="17">
        <v>1.6049401000000001</v>
      </c>
      <c r="K28" s="17"/>
      <c r="L28" s="17"/>
      <c r="M28" s="17">
        <v>1.7090471</v>
      </c>
      <c r="N28" s="17">
        <v>1.8046635</v>
      </c>
      <c r="O28" s="17">
        <v>1.9811856000000001</v>
      </c>
      <c r="P28" s="17">
        <v>2.1452767000000001</v>
      </c>
    </row>
    <row r="29" spans="1:18">
      <c r="A29" t="s">
        <v>77</v>
      </c>
      <c r="B29" t="s">
        <v>8</v>
      </c>
      <c r="C29" t="s">
        <v>80</v>
      </c>
      <c r="D29" t="s">
        <v>21</v>
      </c>
      <c r="E29" t="s">
        <v>22</v>
      </c>
      <c r="F29" s="17">
        <v>1.2683944</v>
      </c>
      <c r="G29" s="17"/>
      <c r="H29" s="17"/>
      <c r="I29" s="17"/>
      <c r="J29" s="17">
        <v>1.6049774000000001</v>
      </c>
      <c r="K29" s="17"/>
      <c r="L29" s="17"/>
      <c r="M29" s="17">
        <v>1.7032571999999999</v>
      </c>
      <c r="N29" s="17">
        <v>1.7816512</v>
      </c>
      <c r="O29" s="17">
        <v>1.8887780000000001</v>
      </c>
      <c r="P29" s="17">
        <v>1.9554275999999999</v>
      </c>
    </row>
    <row r="30" spans="1:18">
      <c r="A30" t="s">
        <v>77</v>
      </c>
      <c r="B30" t="s">
        <v>78</v>
      </c>
      <c r="C30" t="s">
        <v>80</v>
      </c>
      <c r="D30" t="s">
        <v>21</v>
      </c>
      <c r="E30" t="s">
        <v>22</v>
      </c>
      <c r="F30" s="17">
        <v>1.2683944</v>
      </c>
      <c r="G30" s="17"/>
      <c r="H30" s="17"/>
      <c r="I30" s="17"/>
      <c r="J30" s="17">
        <v>1.6049833</v>
      </c>
      <c r="K30" s="17"/>
      <c r="L30" s="17"/>
      <c r="M30" s="17">
        <v>1.7032160000000001</v>
      </c>
      <c r="N30" s="17">
        <v>1.7815592</v>
      </c>
      <c r="O30" s="17">
        <v>1.8886046000000001</v>
      </c>
      <c r="P30" s="17">
        <v>1.9552022</v>
      </c>
    </row>
    <row r="31" spans="1:18">
      <c r="A31" t="s">
        <v>77</v>
      </c>
      <c r="B31" t="s">
        <v>6</v>
      </c>
      <c r="C31" t="s">
        <v>7</v>
      </c>
      <c r="D31" t="s">
        <v>27</v>
      </c>
      <c r="E31" t="s">
        <v>28</v>
      </c>
      <c r="F31">
        <v>680</v>
      </c>
      <c r="G31">
        <v>660</v>
      </c>
      <c r="H31">
        <v>650</v>
      </c>
      <c r="I31">
        <v>640</v>
      </c>
      <c r="J31">
        <v>630</v>
      </c>
      <c r="K31">
        <v>620</v>
      </c>
      <c r="L31">
        <v>610</v>
      </c>
      <c r="M31" s="1"/>
      <c r="N31" s="1"/>
      <c r="O31" s="1"/>
      <c r="P31" s="1"/>
      <c r="Q31" t="s">
        <v>46</v>
      </c>
      <c r="R31" t="s">
        <v>76</v>
      </c>
    </row>
    <row r="32" spans="1:18" s="14" customFormat="1">
      <c r="A32" s="14" t="s">
        <v>77</v>
      </c>
      <c r="B32" s="14" t="s">
        <v>8</v>
      </c>
      <c r="C32" s="14" t="s">
        <v>7</v>
      </c>
      <c r="D32" s="14" t="s">
        <v>27</v>
      </c>
      <c r="E32" s="14" t="s">
        <v>28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4" t="s">
        <v>29</v>
      </c>
      <c r="R32" s="14" t="s">
        <v>76</v>
      </c>
    </row>
    <row r="33" spans="1:18" s="14" customFormat="1">
      <c r="A33" s="14" t="s">
        <v>77</v>
      </c>
      <c r="B33" s="14" t="s">
        <v>8</v>
      </c>
      <c r="C33" s="14" t="s">
        <v>7</v>
      </c>
      <c r="D33" s="14" t="s">
        <v>30</v>
      </c>
      <c r="E33" s="14" t="s">
        <v>28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4" t="s">
        <v>31</v>
      </c>
      <c r="R33" s="14" t="s">
        <v>76</v>
      </c>
    </row>
    <row r="34" spans="1:18" s="14" customFormat="1">
      <c r="A34" s="14" t="s">
        <v>77</v>
      </c>
      <c r="B34" s="14" t="s">
        <v>8</v>
      </c>
      <c r="C34" s="14" t="s">
        <v>7</v>
      </c>
      <c r="D34" s="14" t="s">
        <v>32</v>
      </c>
      <c r="E34" s="14" t="s">
        <v>28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4" t="s">
        <v>33</v>
      </c>
      <c r="R34" s="14" t="s">
        <v>76</v>
      </c>
    </row>
    <row r="35" spans="1:18">
      <c r="A35" t="s">
        <v>77</v>
      </c>
      <c r="B35" t="s">
        <v>9</v>
      </c>
      <c r="C35" t="s">
        <v>20</v>
      </c>
      <c r="D35" t="s">
        <v>27</v>
      </c>
      <c r="E35" t="s">
        <v>28</v>
      </c>
      <c r="F35" s="1">
        <v>43037.929043600001</v>
      </c>
      <c r="G35" s="1"/>
      <c r="H35" s="1"/>
      <c r="I35" s="1"/>
      <c r="J35" s="1">
        <v>44945.932664000014</v>
      </c>
      <c r="K35" s="1"/>
      <c r="L35" s="1"/>
      <c r="M35" s="1">
        <v>42531.558525200002</v>
      </c>
      <c r="N35" s="1">
        <v>42369.984732099998</v>
      </c>
      <c r="O35" s="1">
        <v>40861.009386700003</v>
      </c>
      <c r="P35" s="1">
        <v>40419.440614400002</v>
      </c>
    </row>
    <row r="36" spans="1:18">
      <c r="A36" t="s">
        <v>77</v>
      </c>
      <c r="B36" t="s">
        <v>79</v>
      </c>
      <c r="C36" t="s">
        <v>20</v>
      </c>
      <c r="D36" t="s">
        <v>27</v>
      </c>
      <c r="E36" t="s">
        <v>28</v>
      </c>
      <c r="F36" s="1">
        <v>43037.929043600001</v>
      </c>
      <c r="G36" s="1"/>
      <c r="H36" s="1"/>
      <c r="I36" s="1"/>
      <c r="J36" s="1">
        <v>44945.932664000014</v>
      </c>
      <c r="K36" s="1"/>
      <c r="L36" s="1"/>
      <c r="M36" s="1">
        <v>42531.558525200002</v>
      </c>
      <c r="N36" s="1">
        <v>42369.984732099998</v>
      </c>
      <c r="O36" s="1">
        <v>40861.009386700003</v>
      </c>
      <c r="P36" s="1">
        <v>40419.440614400002</v>
      </c>
    </row>
    <row r="37" spans="1:18">
      <c r="A37" t="s">
        <v>77</v>
      </c>
      <c r="B37" t="s">
        <v>8</v>
      </c>
      <c r="C37" t="s">
        <v>20</v>
      </c>
      <c r="D37" t="s">
        <v>27</v>
      </c>
      <c r="E37" t="s">
        <v>28</v>
      </c>
      <c r="F37" s="1">
        <v>43081.561361699998</v>
      </c>
      <c r="G37" s="1"/>
      <c r="H37" s="1"/>
      <c r="I37" s="1"/>
      <c r="J37" s="1">
        <v>44945.932664000014</v>
      </c>
      <c r="K37" s="1"/>
      <c r="L37" s="1"/>
      <c r="M37" s="1">
        <v>39158.906531599998</v>
      </c>
      <c r="N37" s="1">
        <v>32964.553000400003</v>
      </c>
      <c r="O37" s="1">
        <v>19812.122527799998</v>
      </c>
      <c r="P37" s="1">
        <v>13152.119301199999</v>
      </c>
    </row>
    <row r="38" spans="1:18">
      <c r="A38" t="s">
        <v>77</v>
      </c>
      <c r="B38" t="s">
        <v>78</v>
      </c>
      <c r="C38" t="s">
        <v>20</v>
      </c>
      <c r="D38" t="s">
        <v>27</v>
      </c>
      <c r="E38" t="s">
        <v>28</v>
      </c>
      <c r="F38" s="1">
        <v>43081.561361699998</v>
      </c>
      <c r="G38" s="1"/>
      <c r="H38" s="1"/>
      <c r="I38" s="1"/>
      <c r="J38" s="1">
        <v>44945.932664000014</v>
      </c>
      <c r="K38" s="1"/>
      <c r="L38" s="1"/>
      <c r="M38" s="1">
        <v>39158.906531599998</v>
      </c>
      <c r="N38" s="1">
        <v>32964.553000400003</v>
      </c>
      <c r="O38" s="1">
        <v>19812.122527799998</v>
      </c>
      <c r="P38" s="1">
        <v>13152.119301199999</v>
      </c>
    </row>
    <row r="39" spans="1:18">
      <c r="A39" t="s">
        <v>77</v>
      </c>
      <c r="B39" t="s">
        <v>9</v>
      </c>
      <c r="C39" t="s">
        <v>80</v>
      </c>
      <c r="D39" t="s">
        <v>27</v>
      </c>
      <c r="E39" t="s">
        <v>28</v>
      </c>
      <c r="F39" s="1">
        <v>1929.4467087</v>
      </c>
      <c r="G39" s="1"/>
      <c r="H39" s="1"/>
      <c r="I39" s="1"/>
      <c r="J39" s="1">
        <v>1668.7108949000001</v>
      </c>
      <c r="K39" s="1"/>
      <c r="L39" s="1"/>
      <c r="M39" s="1">
        <v>1505.0070217</v>
      </c>
      <c r="N39" s="1">
        <v>1379.2456853000001</v>
      </c>
      <c r="O39" s="1">
        <v>1196.9515601999999</v>
      </c>
      <c r="P39" s="1">
        <v>1059.9608439000001</v>
      </c>
    </row>
    <row r="40" spans="1:18">
      <c r="A40" t="s">
        <v>77</v>
      </c>
      <c r="B40" t="s">
        <v>79</v>
      </c>
      <c r="C40" t="s">
        <v>80</v>
      </c>
      <c r="D40" t="s">
        <v>27</v>
      </c>
      <c r="E40" t="s">
        <v>28</v>
      </c>
      <c r="F40" s="1">
        <v>1929.4467087</v>
      </c>
      <c r="G40" s="1"/>
      <c r="H40" s="1"/>
      <c r="I40" s="1"/>
      <c r="J40" s="1">
        <v>1668.7108949000001</v>
      </c>
      <c r="K40" s="1"/>
      <c r="L40" s="1"/>
      <c r="M40" s="1">
        <v>1505.0070217</v>
      </c>
      <c r="N40" s="1">
        <v>1379.2456853000001</v>
      </c>
      <c r="O40" s="1">
        <v>1196.9515601999999</v>
      </c>
      <c r="P40" s="1">
        <v>1059.9608439000001</v>
      </c>
    </row>
    <row r="41" spans="1:18">
      <c r="A41" t="s">
        <v>77</v>
      </c>
      <c r="B41" t="s">
        <v>8</v>
      </c>
      <c r="C41" t="s">
        <v>80</v>
      </c>
      <c r="D41" t="s">
        <v>27</v>
      </c>
      <c r="E41" t="s">
        <v>28</v>
      </c>
      <c r="F41" s="1">
        <v>1932.7718007999999</v>
      </c>
      <c r="G41" s="1"/>
      <c r="H41" s="1"/>
      <c r="I41" s="1"/>
      <c r="J41" s="1">
        <v>1668.7108949000001</v>
      </c>
      <c r="K41" s="1"/>
      <c r="L41" s="1"/>
      <c r="M41" s="1">
        <v>1392.5588674999999</v>
      </c>
      <c r="N41" s="1">
        <v>1070.8429232999999</v>
      </c>
      <c r="O41" s="1">
        <v>494.67154720000002</v>
      </c>
      <c r="P41" s="1">
        <v>278.28964020000001</v>
      </c>
    </row>
    <row r="42" spans="1:18">
      <c r="A42" t="s">
        <v>77</v>
      </c>
      <c r="B42" t="s">
        <v>78</v>
      </c>
      <c r="C42" t="s">
        <v>80</v>
      </c>
      <c r="D42" t="s">
        <v>27</v>
      </c>
      <c r="E42" t="s">
        <v>28</v>
      </c>
      <c r="F42" s="1">
        <v>1932.7718007999999</v>
      </c>
      <c r="G42" s="1"/>
      <c r="H42" s="1"/>
      <c r="I42" s="1"/>
      <c r="J42" s="1">
        <v>1668.7108949000001</v>
      </c>
      <c r="K42" s="1"/>
      <c r="L42" s="1"/>
      <c r="M42" s="1">
        <v>1392.5588674999999</v>
      </c>
      <c r="N42" s="1">
        <v>1070.8429232999999</v>
      </c>
      <c r="O42" s="1">
        <v>494.67154720000002</v>
      </c>
      <c r="P42" s="1">
        <v>278.28964020000001</v>
      </c>
    </row>
    <row r="43" spans="1:18">
      <c r="A43" t="s">
        <v>77</v>
      </c>
      <c r="B43" t="s">
        <v>9</v>
      </c>
      <c r="C43" t="s">
        <v>20</v>
      </c>
      <c r="D43" t="s">
        <v>82</v>
      </c>
      <c r="E43" t="s">
        <v>28</v>
      </c>
      <c r="F43" s="1">
        <v>32121.702656999998</v>
      </c>
      <c r="G43" s="1"/>
      <c r="H43" s="1"/>
      <c r="I43" s="1"/>
      <c r="J43" s="1">
        <v>34201.337808700002</v>
      </c>
      <c r="K43" s="1"/>
      <c r="L43" s="1"/>
      <c r="M43" s="1">
        <v>32290.428750199997</v>
      </c>
      <c r="N43" s="1">
        <v>31744.308766499995</v>
      </c>
      <c r="O43" s="1">
        <v>29526.061025900002</v>
      </c>
      <c r="P43" s="1">
        <v>28013.945935400003</v>
      </c>
    </row>
    <row r="44" spans="1:18">
      <c r="A44" t="s">
        <v>77</v>
      </c>
      <c r="B44" t="s">
        <v>79</v>
      </c>
      <c r="C44" t="s">
        <v>20</v>
      </c>
      <c r="D44" t="s">
        <v>82</v>
      </c>
      <c r="E44" t="s">
        <v>28</v>
      </c>
      <c r="F44" s="1">
        <v>32121.702656999998</v>
      </c>
      <c r="G44" s="1"/>
      <c r="H44" s="1"/>
      <c r="I44" s="1"/>
      <c r="J44" s="1">
        <v>34201.337808700002</v>
      </c>
      <c r="K44" s="1"/>
      <c r="L44" s="1"/>
      <c r="M44" s="1">
        <v>32249.497490199999</v>
      </c>
      <c r="N44" s="1">
        <v>31701.571973299997</v>
      </c>
      <c r="O44" s="1">
        <v>29489.200113700004</v>
      </c>
      <c r="P44" s="1">
        <v>27986.436998999998</v>
      </c>
    </row>
    <row r="45" spans="1:18">
      <c r="A45" t="s">
        <v>77</v>
      </c>
      <c r="B45" t="s">
        <v>8</v>
      </c>
      <c r="C45" t="s">
        <v>20</v>
      </c>
      <c r="D45" t="s">
        <v>82</v>
      </c>
      <c r="E45" t="s">
        <v>28</v>
      </c>
      <c r="F45" s="1">
        <v>32154.810834</v>
      </c>
      <c r="G45" s="1"/>
      <c r="H45" s="1"/>
      <c r="I45" s="1"/>
      <c r="J45" s="1">
        <v>34180.216730100001</v>
      </c>
      <c r="K45" s="1"/>
      <c r="L45" s="1"/>
      <c r="M45" s="1">
        <v>29659.9135494</v>
      </c>
      <c r="N45" s="1">
        <v>24293.674622699997</v>
      </c>
      <c r="O45" s="1">
        <v>12936.609644399998</v>
      </c>
      <c r="P45" s="1">
        <v>6406.0057915999996</v>
      </c>
    </row>
    <row r="46" spans="1:18">
      <c r="A46" t="s">
        <v>77</v>
      </c>
      <c r="B46" t="s">
        <v>78</v>
      </c>
      <c r="C46" t="s">
        <v>20</v>
      </c>
      <c r="D46" t="s">
        <v>82</v>
      </c>
      <c r="E46" t="s">
        <v>28</v>
      </c>
      <c r="F46" s="1">
        <v>32154.810834</v>
      </c>
      <c r="G46" s="1"/>
      <c r="H46" s="1"/>
      <c r="I46" s="1"/>
      <c r="J46" s="1">
        <v>34182.819354600004</v>
      </c>
      <c r="K46" s="1"/>
      <c r="L46" s="1"/>
      <c r="M46" s="1">
        <v>29638.673104199999</v>
      </c>
      <c r="N46" s="1">
        <v>24273.6662129</v>
      </c>
      <c r="O46" s="1">
        <v>12922.868059700002</v>
      </c>
      <c r="P46" s="1">
        <v>6392.7193545000009</v>
      </c>
    </row>
    <row r="47" spans="1:18">
      <c r="A47" t="s">
        <v>77</v>
      </c>
      <c r="B47" t="s">
        <v>9</v>
      </c>
      <c r="C47" t="s">
        <v>80</v>
      </c>
      <c r="D47" t="s">
        <v>82</v>
      </c>
      <c r="E47" t="s">
        <v>28</v>
      </c>
      <c r="F47" s="1">
        <v>1721.7247499</v>
      </c>
      <c r="G47" s="1"/>
      <c r="H47" s="1"/>
      <c r="I47" s="1"/>
      <c r="J47" s="1">
        <v>1523.1250846</v>
      </c>
      <c r="K47" s="1"/>
      <c r="L47" s="1"/>
      <c r="M47" s="1">
        <v>1375.6678942000001</v>
      </c>
      <c r="N47" s="1">
        <v>1258.7915989000001</v>
      </c>
      <c r="O47" s="1">
        <v>1085.9653582999999</v>
      </c>
      <c r="P47" s="1">
        <v>954.23021779999999</v>
      </c>
    </row>
    <row r="48" spans="1:18">
      <c r="A48" t="s">
        <v>77</v>
      </c>
      <c r="B48" t="s">
        <v>79</v>
      </c>
      <c r="C48" t="s">
        <v>80</v>
      </c>
      <c r="D48" t="s">
        <v>82</v>
      </c>
      <c r="E48" t="s">
        <v>28</v>
      </c>
      <c r="F48" s="1">
        <v>1721.7247499</v>
      </c>
      <c r="G48" s="1"/>
      <c r="H48" s="1"/>
      <c r="I48" s="1"/>
      <c r="J48" s="1">
        <v>1523.1250846</v>
      </c>
      <c r="K48" s="1"/>
      <c r="L48" s="1"/>
      <c r="M48" s="1">
        <v>1375.2911859000001</v>
      </c>
      <c r="N48" s="1">
        <v>1258.4453802</v>
      </c>
      <c r="O48" s="1">
        <v>1085.6332514000001</v>
      </c>
      <c r="P48" s="1">
        <v>953.90367270000002</v>
      </c>
    </row>
    <row r="49" spans="1:16">
      <c r="A49" t="s">
        <v>77</v>
      </c>
      <c r="B49" t="s">
        <v>8</v>
      </c>
      <c r="C49" t="s">
        <v>80</v>
      </c>
      <c r="D49" t="s">
        <v>82</v>
      </c>
      <c r="E49" t="s">
        <v>28</v>
      </c>
      <c r="F49" s="1">
        <v>1725.424773</v>
      </c>
      <c r="G49" s="1"/>
      <c r="H49" s="1"/>
      <c r="I49" s="1"/>
      <c r="J49" s="1">
        <v>1523.3719988</v>
      </c>
      <c r="K49" s="1"/>
      <c r="L49" s="1"/>
      <c r="M49" s="1">
        <v>1270.8013805000001</v>
      </c>
      <c r="N49" s="1">
        <v>967.63247790000003</v>
      </c>
      <c r="O49" s="1">
        <v>419.67170590000001</v>
      </c>
      <c r="P49" s="1">
        <v>199.7281888</v>
      </c>
    </row>
    <row r="50" spans="1:16">
      <c r="A50" t="s">
        <v>77</v>
      </c>
      <c r="B50" t="s">
        <v>78</v>
      </c>
      <c r="C50" t="s">
        <v>80</v>
      </c>
      <c r="D50" t="s">
        <v>82</v>
      </c>
      <c r="E50" t="s">
        <v>28</v>
      </c>
      <c r="F50" s="1">
        <v>1725.424773</v>
      </c>
      <c r="G50" s="1"/>
      <c r="H50" s="1"/>
      <c r="I50" s="1"/>
      <c r="J50" s="1">
        <v>1522.8088928</v>
      </c>
      <c r="K50" s="1"/>
      <c r="L50" s="1"/>
      <c r="M50" s="1">
        <v>1270.2211439</v>
      </c>
      <c r="N50" s="1">
        <v>967.26868750000006</v>
      </c>
      <c r="O50" s="1">
        <v>419.6259824</v>
      </c>
      <c r="P50" s="1">
        <v>199.63582819999999</v>
      </c>
    </row>
    <row r="52" spans="1:16" ht="16.5" customHeight="1">
      <c r="A52" s="5" t="s">
        <v>51</v>
      </c>
    </row>
    <row r="53" spans="1:16" ht="16.5">
      <c r="A53" s="8" t="s">
        <v>52</v>
      </c>
    </row>
    <row r="54" spans="1:16" ht="16.5">
      <c r="A54" s="6" t="s">
        <v>53</v>
      </c>
    </row>
    <row r="55" spans="1:16" ht="16.5">
      <c r="A55" s="7" t="s">
        <v>54</v>
      </c>
    </row>
    <row r="56" spans="1:16" ht="16.5">
      <c r="A56" s="6" t="s">
        <v>55</v>
      </c>
    </row>
    <row r="57" spans="1:16" ht="16.5">
      <c r="A57" s="7" t="s">
        <v>56</v>
      </c>
    </row>
    <row r="58" spans="1:16" ht="16.5">
      <c r="A58" s="6" t="s">
        <v>57</v>
      </c>
    </row>
    <row r="59" spans="1:16" ht="16.5">
      <c r="A59" s="7" t="s">
        <v>58</v>
      </c>
    </row>
    <row r="60" spans="1:16" ht="16.5">
      <c r="A60" s="6" t="s">
        <v>59</v>
      </c>
    </row>
    <row r="61" spans="1:16" ht="16.5">
      <c r="A61" s="7" t="s">
        <v>60</v>
      </c>
    </row>
    <row r="62" spans="1:16" ht="16.5">
      <c r="A62" s="6" t="s">
        <v>61</v>
      </c>
    </row>
    <row r="63" spans="1:16" ht="16.5">
      <c r="A63" s="7" t="s">
        <v>62</v>
      </c>
    </row>
    <row r="64" spans="1:16" ht="16.5">
      <c r="A64" s="7"/>
    </row>
    <row r="65" spans="1:6" ht="17.25">
      <c r="A65" s="5" t="s">
        <v>63</v>
      </c>
    </row>
    <row r="66" spans="1:6" ht="16.5">
      <c r="A66" s="8" t="s">
        <v>64</v>
      </c>
    </row>
    <row r="67" spans="1:6" ht="16.5">
      <c r="A67" s="10" t="s">
        <v>65</v>
      </c>
    </row>
    <row r="68" spans="1:6" ht="16.5">
      <c r="A68" s="10" t="s">
        <v>66</v>
      </c>
    </row>
    <row r="69" spans="1:6" ht="16.5">
      <c r="A69" s="10" t="s">
        <v>67</v>
      </c>
    </row>
    <row r="70" spans="1:6" ht="16.5">
      <c r="A70" s="10" t="s">
        <v>68</v>
      </c>
    </row>
    <row r="71" spans="1:6" ht="16.5">
      <c r="A71" s="10"/>
      <c r="E71" s="2"/>
      <c r="F71" s="2"/>
    </row>
    <row r="72" spans="1:6" ht="17.25">
      <c r="A72" s="5" t="s">
        <v>69</v>
      </c>
    </row>
    <row r="73" spans="1:6" ht="16.5">
      <c r="A73" s="9" t="s">
        <v>70</v>
      </c>
      <c r="B73" s="2"/>
      <c r="C73" s="2"/>
      <c r="D73" s="2"/>
    </row>
    <row r="74" spans="1:6" ht="16.5">
      <c r="A74" s="10" t="s">
        <v>71</v>
      </c>
    </row>
    <row r="75" spans="1:6" ht="16.5">
      <c r="A75" s="10" t="s">
        <v>72</v>
      </c>
    </row>
    <row r="76" spans="1:6" ht="16.5">
      <c r="A76" s="10" t="s">
        <v>73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8D4BE-FDE7-4F5D-B03A-AA484C936347}">
  <dimension ref="A1:U34"/>
  <sheetViews>
    <sheetView workbookViewId="0">
      <selection activeCell="A10" sqref="A10:D34"/>
    </sheetView>
  </sheetViews>
  <sheetFormatPr defaultRowHeight="15"/>
  <cols>
    <col min="1" max="1" width="17.42578125" customWidth="1"/>
    <col min="2" max="2" width="10.28515625" customWidth="1"/>
    <col min="4" max="4" width="21.5703125" customWidth="1"/>
    <col min="5" max="5" width="12.57031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2017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2030</v>
      </c>
      <c r="O1">
        <v>2040</v>
      </c>
      <c r="P1">
        <v>2050</v>
      </c>
      <c r="Q1" t="s">
        <v>5</v>
      </c>
    </row>
    <row r="2" spans="1:21">
      <c r="A2" t="s">
        <v>10</v>
      </c>
      <c r="B2" t="s">
        <v>6</v>
      </c>
      <c r="C2" t="s">
        <v>7</v>
      </c>
      <c r="D2" t="s">
        <v>34</v>
      </c>
      <c r="E2" t="s">
        <v>12</v>
      </c>
      <c r="F2">
        <v>500</v>
      </c>
      <c r="G2">
        <v>510</v>
      </c>
      <c r="H2">
        <v>515</v>
      </c>
      <c r="I2">
        <v>520</v>
      </c>
      <c r="J2">
        <v>525</v>
      </c>
      <c r="K2">
        <v>530</v>
      </c>
      <c r="L2">
        <v>535</v>
      </c>
      <c r="M2" s="1"/>
      <c r="N2" s="1"/>
      <c r="O2" s="1"/>
      <c r="P2" s="1"/>
      <c r="Q2" t="s">
        <v>47</v>
      </c>
    </row>
    <row r="3" spans="1:21">
      <c r="A3" t="s">
        <v>10</v>
      </c>
      <c r="B3" t="s">
        <v>8</v>
      </c>
      <c r="C3" t="s">
        <v>7</v>
      </c>
      <c r="D3" t="s">
        <v>34</v>
      </c>
      <c r="E3" t="s">
        <v>12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t="s">
        <v>35</v>
      </c>
    </row>
    <row r="4" spans="1:21">
      <c r="A4" t="s">
        <v>10</v>
      </c>
      <c r="B4" t="s">
        <v>8</v>
      </c>
      <c r="C4" t="s">
        <v>7</v>
      </c>
      <c r="D4" t="s">
        <v>36</v>
      </c>
      <c r="E4" t="s">
        <v>12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t="s">
        <v>37</v>
      </c>
    </row>
    <row r="5" spans="1:21">
      <c r="A5" t="s">
        <v>38</v>
      </c>
      <c r="B5" t="s">
        <v>25</v>
      </c>
      <c r="C5" t="s">
        <v>7</v>
      </c>
      <c r="D5" t="s">
        <v>39</v>
      </c>
      <c r="E5" t="s">
        <v>40</v>
      </c>
      <c r="F5">
        <v>0</v>
      </c>
      <c r="G5">
        <v>0</v>
      </c>
      <c r="H5">
        <v>0</v>
      </c>
      <c r="I5">
        <v>0.1</v>
      </c>
      <c r="J5">
        <v>0.2</v>
      </c>
      <c r="K5">
        <v>0.3</v>
      </c>
      <c r="L5">
        <v>0.4</v>
      </c>
      <c r="M5" s="1"/>
      <c r="N5" s="1"/>
      <c r="O5" s="1"/>
      <c r="P5" s="1"/>
      <c r="Q5" t="s">
        <v>48</v>
      </c>
    </row>
    <row r="6" spans="1:21">
      <c r="A6" t="s">
        <v>38</v>
      </c>
      <c r="B6" t="s">
        <v>25</v>
      </c>
      <c r="C6" t="s">
        <v>7</v>
      </c>
      <c r="D6" t="s">
        <v>41</v>
      </c>
      <c r="E6" t="s">
        <v>40</v>
      </c>
      <c r="F6">
        <v>0</v>
      </c>
      <c r="G6">
        <v>0</v>
      </c>
      <c r="H6">
        <v>0</v>
      </c>
      <c r="I6">
        <v>0.05</v>
      </c>
      <c r="J6">
        <v>0.1</v>
      </c>
      <c r="K6">
        <v>0.15</v>
      </c>
      <c r="L6">
        <v>0.2</v>
      </c>
      <c r="M6" s="1"/>
      <c r="N6" s="1"/>
      <c r="O6" s="1"/>
      <c r="P6" s="1"/>
      <c r="Q6" t="s">
        <v>48</v>
      </c>
    </row>
    <row r="7" spans="1:21">
      <c r="A7" t="s">
        <v>38</v>
      </c>
      <c r="B7" t="s">
        <v>25</v>
      </c>
      <c r="C7" t="s">
        <v>7</v>
      </c>
      <c r="D7" t="s">
        <v>42</v>
      </c>
      <c r="E7" t="s">
        <v>40</v>
      </c>
      <c r="F7">
        <v>0</v>
      </c>
      <c r="G7">
        <v>0</v>
      </c>
      <c r="H7">
        <v>0.1</v>
      </c>
      <c r="I7">
        <v>0.2</v>
      </c>
      <c r="J7">
        <v>0.3</v>
      </c>
      <c r="K7">
        <v>0.4</v>
      </c>
      <c r="L7">
        <v>0.5</v>
      </c>
      <c r="M7" s="1"/>
      <c r="N7" s="1"/>
      <c r="O7" s="1"/>
      <c r="P7" s="1"/>
      <c r="Q7" t="s">
        <v>49</v>
      </c>
    </row>
    <row r="8" spans="1:21">
      <c r="A8" t="s">
        <v>38</v>
      </c>
      <c r="B8" t="s">
        <v>25</v>
      </c>
      <c r="C8" t="s">
        <v>7</v>
      </c>
      <c r="D8" t="s">
        <v>43</v>
      </c>
      <c r="E8" t="s">
        <v>40</v>
      </c>
      <c r="F8">
        <v>0</v>
      </c>
      <c r="G8">
        <v>0</v>
      </c>
      <c r="H8">
        <v>0.1</v>
      </c>
      <c r="I8">
        <v>0.2</v>
      </c>
      <c r="J8">
        <v>0.3</v>
      </c>
      <c r="K8">
        <v>0.4</v>
      </c>
      <c r="L8">
        <v>0.5</v>
      </c>
      <c r="M8" s="1"/>
      <c r="N8" s="1"/>
      <c r="O8" s="1"/>
      <c r="P8" s="1"/>
      <c r="Q8" t="s">
        <v>50</v>
      </c>
    </row>
    <row r="10" spans="1:21" ht="17.25">
      <c r="A10" s="5" t="s">
        <v>51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6.5">
      <c r="A11" s="8" t="s">
        <v>52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6.5">
      <c r="A12" s="6" t="s">
        <v>53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16.5">
      <c r="A13" s="7" t="s">
        <v>54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6.5">
      <c r="A14" s="6" t="s">
        <v>55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16.5">
      <c r="A15" s="7" t="s">
        <v>56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16.5">
      <c r="A16" s="6" t="s">
        <v>57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16.5">
      <c r="A17" s="7" t="s">
        <v>58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6.5">
      <c r="A18" s="6" t="s">
        <v>59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16.5">
      <c r="A19" s="7" t="s">
        <v>60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16.5">
      <c r="A20" s="6" t="s">
        <v>61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16.5">
      <c r="A21" s="7" t="s">
        <v>62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6.5">
      <c r="A22" s="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7.25">
      <c r="A23" s="5" t="s">
        <v>63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16.5">
      <c r="A24" s="8" t="s">
        <v>64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16.5">
      <c r="A25" s="10" t="s">
        <v>65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s="4" customFormat="1" ht="16.5">
      <c r="A26" s="10" t="s">
        <v>66</v>
      </c>
      <c r="B26"/>
      <c r="C26"/>
      <c r="D26"/>
      <c r="E26"/>
      <c r="F26"/>
      <c r="G26"/>
      <c r="H26"/>
      <c r="I26"/>
      <c r="J26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ht="16.5">
      <c r="A27" s="10" t="s">
        <v>67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ht="16.5">
      <c r="A28" s="10" t="s">
        <v>68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ht="16.5">
      <c r="A29" s="10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17.25">
      <c r="A30" s="5" t="s">
        <v>69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ht="16.5">
      <c r="A31" s="9" t="s">
        <v>70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16.5">
      <c r="A32" s="10" t="s">
        <v>71</v>
      </c>
    </row>
    <row r="33" spans="1:1" ht="16.5">
      <c r="A33" s="10" t="s">
        <v>72</v>
      </c>
    </row>
    <row r="34" spans="1:1" ht="16.5">
      <c r="A34" s="10" t="s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Table_Macro_Climate</vt:lpstr>
      <vt:lpstr>Table_Trade_Damage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 Yong Yoon</dc:creator>
  <cp:lastModifiedBy>Eun Young Kim</cp:lastModifiedBy>
  <dcterms:created xsi:type="dcterms:W3CDTF">2026-03-11T02:38:18Z</dcterms:created>
  <dcterms:modified xsi:type="dcterms:W3CDTF">2026-04-21T05:42:49Z</dcterms:modified>
</cp:coreProperties>
</file>